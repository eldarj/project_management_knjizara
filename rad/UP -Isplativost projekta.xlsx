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darJahijagić\Desktop\FIT\UP\Seminarski\moj\"/>
    </mc:Choice>
  </mc:AlternateContent>
  <bookViews>
    <workbookView xWindow="0" yWindow="0" windowWidth="23040" windowHeight="99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K21" i="1"/>
  <c r="L21" i="1"/>
  <c r="M21" i="1"/>
  <c r="N21" i="1"/>
  <c r="J21" i="1"/>
  <c r="N24" i="1" l="1"/>
  <c r="M24" i="1"/>
  <c r="L24" i="1"/>
  <c r="K24" i="1"/>
  <c r="J24" i="1"/>
  <c r="H24" i="1"/>
  <c r="H21" i="1" l="1"/>
  <c r="H23" i="1" s="1"/>
  <c r="H25" i="1" s="1"/>
  <c r="J5" i="1"/>
  <c r="D12" i="1" s="1"/>
  <c r="D17" i="1"/>
  <c r="J6" i="1" l="1"/>
  <c r="E8" i="1"/>
  <c r="K22" i="1" s="1"/>
  <c r="K23" i="1" s="1"/>
  <c r="K25" i="1" s="1"/>
  <c r="L22" i="1" l="1"/>
  <c r="L23" i="1" s="1"/>
  <c r="L25" i="1" s="1"/>
  <c r="M22" i="1"/>
  <c r="M23" i="1" s="1"/>
  <c r="M25" i="1" s="1"/>
  <c r="N22" i="1"/>
  <c r="N23" i="1" s="1"/>
  <c r="N25" i="1" s="1"/>
  <c r="J22" i="1"/>
  <c r="J23" i="1" s="1"/>
  <c r="J25" i="1" s="1"/>
  <c r="N26" i="1" l="1"/>
  <c r="N27" i="1" s="1"/>
</calcChain>
</file>

<file path=xl/sharedStrings.xml><?xml version="1.0" encoding="utf-8"?>
<sst xmlns="http://schemas.openxmlformats.org/spreadsheetml/2006/main" count="27" uniqueCount="26">
  <si>
    <t>Troškovi za izradu projekta:</t>
  </si>
  <si>
    <t>Plata:</t>
  </si>
  <si>
    <t>Dnevnica:</t>
  </si>
  <si>
    <t>Godišnja ušteda:</t>
  </si>
  <si>
    <t xml:space="preserve">  Broj radnih dana (mjesečno)</t>
  </si>
  <si>
    <t>Satnica:</t>
  </si>
  <si>
    <t>Radno vrijeme:</t>
  </si>
  <si>
    <t>(08:00 - 16:00)</t>
  </si>
  <si>
    <t>Kamatna stopa za diskontni faktor:</t>
  </si>
  <si>
    <t>Period investiranja</t>
  </si>
  <si>
    <t>Period eksploatacije</t>
  </si>
  <si>
    <t>Finansijski odlivi</t>
  </si>
  <si>
    <t>Finansijski priliv</t>
  </si>
  <si>
    <t>Bruto primici</t>
  </si>
  <si>
    <t>Diskontni faktor:</t>
  </si>
  <si>
    <t>Bruto sadašnja vrijednost</t>
  </si>
  <si>
    <t>Bruto sadašnja vrijednost projekta</t>
  </si>
  <si>
    <t>Stopa rentabilnosti</t>
  </si>
  <si>
    <t>Prosječno sati dnevnog prekovremenog rada</t>
  </si>
  <si>
    <t>Broj potrebnih zaposlenika uz korištenje aplikacije:</t>
  </si>
  <si>
    <t>Ušteda po smanjenju broja potrebnih zaposlenika</t>
  </si>
  <si>
    <t>Trenutni broj zaposlenika:</t>
  </si>
  <si>
    <t>Primanja jednog zaposlenika</t>
  </si>
  <si>
    <t>Ukupna godišnja ušteda korištenjem aplikacije:</t>
  </si>
  <si>
    <t>Mjesečni troškovi za održavanje:</t>
  </si>
  <si>
    <t>Ušteda po smanjenju prekovremenog 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</si>
</sst>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,##0.00\ &quot;KM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4" xfId="0" applyNumberFormat="1" applyBorder="1"/>
    <xf numFmtId="2" fontId="2" fillId="5" borderId="4" xfId="0" applyNumberFormat="1" applyFont="1" applyFill="1" applyBorder="1" applyAlignment="1">
      <alignment horizontal="center"/>
    </xf>
    <xf numFmtId="0" fontId="1" fillId="3" borderId="1" xfId="2" applyBorder="1" applyAlignment="1">
      <alignment horizontal="center"/>
    </xf>
    <xf numFmtId="0" fontId="1" fillId="3" borderId="2" xfId="2" applyBorder="1" applyAlignment="1">
      <alignment horizontal="center"/>
    </xf>
    <xf numFmtId="0" fontId="1" fillId="3" borderId="3" xfId="2" applyBorder="1" applyAlignment="1">
      <alignment horizontal="center"/>
    </xf>
    <xf numFmtId="0" fontId="0" fillId="3" borderId="1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7" xfId="2" applyFont="1" applyBorder="1" applyAlignment="1">
      <alignment horizontal="center"/>
    </xf>
    <xf numFmtId="0" fontId="0" fillId="3" borderId="11" xfId="2" applyFont="1" applyBorder="1" applyAlignment="1">
      <alignment horizontal="center" vertical="center" wrapText="1"/>
    </xf>
    <xf numFmtId="0" fontId="0" fillId="3" borderId="6" xfId="2" applyFont="1" applyBorder="1" applyAlignment="1">
      <alignment horizontal="center" vertical="center" wrapText="1"/>
    </xf>
    <xf numFmtId="0" fontId="0" fillId="3" borderId="7" xfId="2" applyFont="1" applyBorder="1" applyAlignment="1">
      <alignment horizontal="center" vertical="center" wrapText="1"/>
    </xf>
    <xf numFmtId="0" fontId="1" fillId="4" borderId="11" xfId="2" applyFill="1" applyBorder="1" applyAlignment="1">
      <alignment horizontal="center" vertical="center"/>
    </xf>
    <xf numFmtId="0" fontId="1" fillId="4" borderId="10" xfId="2" applyFill="1" applyBorder="1" applyAlignment="1">
      <alignment horizontal="center" vertical="center"/>
    </xf>
    <xf numFmtId="0" fontId="1" fillId="4" borderId="6" xfId="2" applyFill="1" applyBorder="1" applyAlignment="1">
      <alignment horizontal="center" vertical="center"/>
    </xf>
    <xf numFmtId="0" fontId="1" fillId="4" borderId="12" xfId="2" applyFill="1" applyBorder="1" applyAlignment="1">
      <alignment horizontal="center" vertical="center"/>
    </xf>
    <xf numFmtId="0" fontId="0" fillId="3" borderId="0" xfId="2" applyFont="1" applyBorder="1" applyAlignment="1">
      <alignment horizontal="center" vertical="center" wrapText="1"/>
    </xf>
    <xf numFmtId="0" fontId="0" fillId="3" borderId="10" xfId="2" applyFont="1" applyBorder="1" applyAlignment="1">
      <alignment horizontal="center" vertical="center" wrapText="1"/>
    </xf>
    <xf numFmtId="0" fontId="0" fillId="3" borderId="12" xfId="2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2" xfId="2" applyFont="1" applyBorder="1" applyAlignment="1">
      <alignment horizontal="center"/>
    </xf>
    <xf numFmtId="0" fontId="0" fillId="3" borderId="3" xfId="2" applyFont="1" applyBorder="1" applyAlignment="1">
      <alignment horizontal="center"/>
    </xf>
    <xf numFmtId="0" fontId="0" fillId="3" borderId="1" xfId="2" applyFont="1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0" fillId="3" borderId="2" xfId="2" applyFont="1" applyBorder="1" applyAlignment="1">
      <alignment horizontal="center" vertical="center"/>
    </xf>
    <xf numFmtId="0" fontId="0" fillId="3" borderId="3" xfId="2" applyFont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right" vertical="center"/>
    </xf>
    <xf numFmtId="2" fontId="0" fillId="0" borderId="4" xfId="0" applyNumberFormat="1" applyFont="1" applyBorder="1" applyAlignment="1">
      <alignment horizontal="right"/>
    </xf>
    <xf numFmtId="2" fontId="0" fillId="0" borderId="5" xfId="0" applyNumberFormat="1" applyFont="1" applyBorder="1" applyAlignment="1">
      <alignment horizontal="right" vertical="center"/>
    </xf>
    <xf numFmtId="2" fontId="0" fillId="0" borderId="8" xfId="0" applyNumberFormat="1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3" borderId="14" xfId="2" applyFont="1" applyBorder="1" applyAlignment="1">
      <alignment horizontal="center" vertical="center" wrapText="1"/>
    </xf>
    <xf numFmtId="0" fontId="0" fillId="3" borderId="15" xfId="2" applyFont="1" applyBorder="1" applyAlignment="1">
      <alignment horizontal="center" vertical="center" wrapText="1"/>
    </xf>
    <xf numFmtId="0" fontId="0" fillId="3" borderId="12" xfId="2" applyFont="1" applyBorder="1" applyAlignment="1">
      <alignment horizontal="center"/>
    </xf>
    <xf numFmtId="0" fontId="0" fillId="0" borderId="8" xfId="0" applyBorder="1" applyAlignment="1">
      <alignment horizontal="right" vertical="center"/>
    </xf>
    <xf numFmtId="2" fontId="0" fillId="0" borderId="4" xfId="0" applyNumberFormat="1" applyBorder="1" applyAlignment="1">
      <alignment horizontal="right" vertical="center"/>
    </xf>
    <xf numFmtId="173" fontId="0" fillId="0" borderId="1" xfId="0" applyNumberFormat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173" fontId="0" fillId="0" borderId="4" xfId="0" applyNumberFormat="1" applyBorder="1" applyAlignment="1">
      <alignment horizontal="center"/>
    </xf>
    <xf numFmtId="173" fontId="0" fillId="0" borderId="13" xfId="0" applyNumberFormat="1" applyBorder="1"/>
    <xf numFmtId="173" fontId="0" fillId="0" borderId="4" xfId="0" applyNumberFormat="1" applyBorder="1"/>
    <xf numFmtId="173" fontId="0" fillId="0" borderId="8" xfId="0" applyNumberFormat="1" applyBorder="1"/>
    <xf numFmtId="0" fontId="3" fillId="2" borderId="1" xfId="1" applyBorder="1" applyAlignment="1">
      <alignment horizontal="center"/>
    </xf>
    <xf numFmtId="0" fontId="3" fillId="2" borderId="2" xfId="1" applyBorder="1" applyAlignment="1">
      <alignment horizontal="center"/>
    </xf>
    <xf numFmtId="0" fontId="3" fillId="2" borderId="3" xfId="1" applyBorder="1" applyAlignment="1">
      <alignment horizontal="center"/>
    </xf>
    <xf numFmtId="0" fontId="3" fillId="2" borderId="11" xfId="1" applyBorder="1" applyAlignment="1">
      <alignment horizontal="center" vertical="center" wrapText="1"/>
    </xf>
    <xf numFmtId="0" fontId="3" fillId="2" borderId="9" xfId="1" applyBorder="1" applyAlignment="1">
      <alignment horizontal="center" vertical="center" wrapText="1"/>
    </xf>
    <xf numFmtId="0" fontId="3" fillId="2" borderId="10" xfId="1" applyBorder="1" applyAlignment="1">
      <alignment horizontal="center" vertical="center" wrapText="1"/>
    </xf>
    <xf numFmtId="0" fontId="3" fillId="2" borderId="6" xfId="1" applyBorder="1" applyAlignment="1">
      <alignment horizontal="center" vertical="center" wrapText="1"/>
    </xf>
    <xf numFmtId="0" fontId="3" fillId="2" borderId="7" xfId="1" applyBorder="1" applyAlignment="1">
      <alignment horizontal="center" vertical="center" wrapText="1"/>
    </xf>
    <xf numFmtId="0" fontId="3" fillId="2" borderId="12" xfId="1" applyBorder="1" applyAlignment="1">
      <alignment horizontal="center" vertical="center" wrapText="1"/>
    </xf>
    <xf numFmtId="2" fontId="3" fillId="2" borderId="1" xfId="1" applyNumberFormat="1" applyBorder="1" applyAlignment="1">
      <alignment horizontal="left"/>
    </xf>
    <xf numFmtId="2" fontId="3" fillId="2" borderId="2" xfId="1" applyNumberFormat="1" applyBorder="1" applyAlignment="1">
      <alignment horizontal="left"/>
    </xf>
    <xf numFmtId="2" fontId="3" fillId="2" borderId="3" xfId="1" applyNumberFormat="1" applyBorder="1" applyAlignment="1">
      <alignment horizontal="left"/>
    </xf>
    <xf numFmtId="0" fontId="3" fillId="2" borderId="11" xfId="1" applyBorder="1" applyAlignment="1">
      <alignment horizontal="center"/>
    </xf>
    <xf numFmtId="0" fontId="3" fillId="2" borderId="9" xfId="1" applyBorder="1" applyAlignment="1">
      <alignment horizontal="center"/>
    </xf>
    <xf numFmtId="0" fontId="3" fillId="2" borderId="10" xfId="1" applyBorder="1" applyAlignment="1">
      <alignment horizontal="center"/>
    </xf>
    <xf numFmtId="0" fontId="3" fillId="2" borderId="6" xfId="1" applyBorder="1" applyAlignment="1">
      <alignment horizontal="center"/>
    </xf>
    <xf numFmtId="0" fontId="3" fillId="2" borderId="7" xfId="1" applyBorder="1" applyAlignment="1">
      <alignment horizontal="center"/>
    </xf>
    <xf numFmtId="0" fontId="3" fillId="2" borderId="12" xfId="1" applyBorder="1" applyAlignment="1">
      <alignment horizontal="center"/>
    </xf>
  </cellXfs>
  <cellStyles count="3">
    <cellStyle name="20% - Accent5" xfId="2" builtinId="46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27"/>
  <sheetViews>
    <sheetView tabSelected="1" workbookViewId="0">
      <selection activeCell="L7" sqref="L7"/>
    </sheetView>
  </sheetViews>
  <sheetFormatPr defaultRowHeight="14.4" x14ac:dyDescent="0.3"/>
  <cols>
    <col min="3" max="3" width="12.5546875" customWidth="1"/>
    <col min="4" max="4" width="10.77734375" customWidth="1"/>
    <col min="5" max="5" width="11.6640625" customWidth="1"/>
    <col min="8" max="8" width="15.44140625" customWidth="1"/>
    <col min="10" max="14" width="12.109375" bestFit="1" customWidth="1"/>
  </cols>
  <sheetData>
    <row r="3" spans="2:10" ht="15" thickBot="1" x14ac:dyDescent="0.35"/>
    <row r="4" spans="2:10" ht="15" thickBot="1" x14ac:dyDescent="0.35">
      <c r="B4" s="57" t="s">
        <v>8</v>
      </c>
      <c r="C4" s="58"/>
      <c r="D4" s="59"/>
      <c r="E4" s="43">
        <v>0.12</v>
      </c>
      <c r="G4" s="14" t="s">
        <v>22</v>
      </c>
      <c r="H4" s="29"/>
      <c r="I4" s="29"/>
      <c r="J4" s="30"/>
    </row>
    <row r="5" spans="2:10" ht="15" thickBot="1" x14ac:dyDescent="0.35">
      <c r="G5" s="14" t="s">
        <v>1</v>
      </c>
      <c r="H5" s="29"/>
      <c r="I5" s="30"/>
      <c r="J5" s="49">
        <f>J7*J14*J13</f>
        <v>840</v>
      </c>
    </row>
    <row r="6" spans="2:10" ht="15" thickBot="1" x14ac:dyDescent="0.35">
      <c r="B6" s="57" t="s">
        <v>0</v>
      </c>
      <c r="C6" s="58"/>
      <c r="D6" s="59"/>
      <c r="E6" s="39">
        <v>9142.5</v>
      </c>
      <c r="G6" s="14" t="s">
        <v>2</v>
      </c>
      <c r="H6" s="29"/>
      <c r="I6" s="30"/>
      <c r="J6" s="50">
        <f>J5/J13</f>
        <v>40</v>
      </c>
    </row>
    <row r="7" spans="2:10" ht="15" thickBot="1" x14ac:dyDescent="0.35">
      <c r="B7" s="57" t="s">
        <v>24</v>
      </c>
      <c r="C7" s="58"/>
      <c r="D7" s="59"/>
      <c r="E7" s="40">
        <v>450</v>
      </c>
      <c r="G7" s="15" t="s">
        <v>5</v>
      </c>
      <c r="H7" s="16"/>
      <c r="I7" s="48"/>
      <c r="J7" s="50">
        <f>5</f>
        <v>5</v>
      </c>
    </row>
    <row r="8" spans="2:10" ht="15.6" customHeight="1" thickBot="1" x14ac:dyDescent="0.35">
      <c r="B8" s="60" t="s">
        <v>23</v>
      </c>
      <c r="C8" s="61"/>
      <c r="D8" s="62"/>
      <c r="E8" s="41">
        <f>D17+D12</f>
        <v>12348</v>
      </c>
    </row>
    <row r="9" spans="2:10" ht="15" customHeight="1" thickBot="1" x14ac:dyDescent="0.35">
      <c r="B9" s="63"/>
      <c r="C9" s="64"/>
      <c r="D9" s="65"/>
      <c r="E9" s="42"/>
      <c r="G9" s="14" t="s">
        <v>21</v>
      </c>
      <c r="H9" s="29"/>
      <c r="I9" s="30"/>
      <c r="J9" s="38">
        <v>6</v>
      </c>
    </row>
    <row r="10" spans="2:10" ht="15" customHeight="1" thickBot="1" x14ac:dyDescent="0.35">
      <c r="G10" s="46" t="s">
        <v>19</v>
      </c>
      <c r="H10" s="24"/>
      <c r="I10" s="47"/>
      <c r="J10" s="36">
        <v>5</v>
      </c>
    </row>
    <row r="11" spans="2:10" ht="15" thickBot="1" x14ac:dyDescent="0.35">
      <c r="B11" s="31" t="s">
        <v>20</v>
      </c>
      <c r="C11" s="33"/>
      <c r="D11" s="33"/>
      <c r="E11" s="34"/>
      <c r="G11" s="18"/>
      <c r="H11" s="19"/>
      <c r="I11" s="26"/>
      <c r="J11" s="37"/>
    </row>
    <row r="12" spans="2:10" ht="15" thickBot="1" x14ac:dyDescent="0.35">
      <c r="B12" s="35" t="s">
        <v>3</v>
      </c>
      <c r="C12" s="32"/>
      <c r="D12" s="44">
        <f>(J9-J10)*(J5)*12</f>
        <v>10080</v>
      </c>
      <c r="E12" s="45"/>
    </row>
    <row r="13" spans="2:10" ht="15" thickBot="1" x14ac:dyDescent="0.35">
      <c r="G13" s="11" t="s">
        <v>4</v>
      </c>
      <c r="H13" s="12"/>
      <c r="I13" s="13"/>
      <c r="J13" s="5">
        <v>21</v>
      </c>
    </row>
    <row r="14" spans="2:10" ht="15" thickBot="1" x14ac:dyDescent="0.35">
      <c r="B14" s="14" t="s">
        <v>25</v>
      </c>
      <c r="C14" s="12"/>
      <c r="D14" s="12"/>
      <c r="E14" s="13"/>
      <c r="G14" s="11" t="s">
        <v>6</v>
      </c>
      <c r="H14" s="12"/>
      <c r="I14" s="13"/>
      <c r="J14" s="27">
        <v>8</v>
      </c>
    </row>
    <row r="15" spans="2:10" ht="15.6" customHeight="1" thickBot="1" x14ac:dyDescent="0.35">
      <c r="B15" s="17" t="s">
        <v>18</v>
      </c>
      <c r="C15" s="25"/>
      <c r="D15" s="20">
        <v>0.3</v>
      </c>
      <c r="E15" s="21"/>
      <c r="G15" s="11" t="s">
        <v>7</v>
      </c>
      <c r="H15" s="12"/>
      <c r="I15" s="13"/>
      <c r="J15" s="28"/>
    </row>
    <row r="16" spans="2:10" ht="15" thickBot="1" x14ac:dyDescent="0.35">
      <c r="B16" s="18"/>
      <c r="C16" s="26"/>
      <c r="D16" s="22"/>
      <c r="E16" s="23"/>
    </row>
    <row r="17" spans="2:14" ht="14.4" customHeight="1" thickBot="1" x14ac:dyDescent="0.35">
      <c r="B17" s="11" t="s">
        <v>3</v>
      </c>
      <c r="C17" s="13"/>
      <c r="D17" s="44">
        <f>12*J13*D15*J7*J9</f>
        <v>2268</v>
      </c>
      <c r="E17" s="45"/>
    </row>
    <row r="18" spans="2:14" ht="15" thickBot="1" x14ac:dyDescent="0.35"/>
    <row r="19" spans="2:14" ht="15" thickBot="1" x14ac:dyDescent="0.35">
      <c r="B19" s="69"/>
      <c r="C19" s="70"/>
      <c r="D19" s="70"/>
      <c r="E19" s="70"/>
      <c r="F19" s="70"/>
      <c r="G19" s="71"/>
      <c r="H19" s="57" t="s">
        <v>9</v>
      </c>
      <c r="I19" s="59"/>
      <c r="J19" s="57" t="s">
        <v>10</v>
      </c>
      <c r="K19" s="58"/>
      <c r="L19" s="58"/>
      <c r="M19" s="58"/>
      <c r="N19" s="59"/>
    </row>
    <row r="20" spans="2:14" ht="15" thickBot="1" x14ac:dyDescent="0.35">
      <c r="B20" s="72"/>
      <c r="C20" s="73"/>
      <c r="D20" s="73"/>
      <c r="E20" s="73"/>
      <c r="F20" s="73"/>
      <c r="G20" s="74"/>
      <c r="H20" s="1">
        <v>-1</v>
      </c>
      <c r="I20" s="2"/>
      <c r="J20" s="6">
        <v>0</v>
      </c>
      <c r="K20" s="7">
        <v>1</v>
      </c>
      <c r="L20" s="6">
        <v>2</v>
      </c>
      <c r="M20" s="7">
        <v>3</v>
      </c>
      <c r="N20" s="8">
        <v>4</v>
      </c>
    </row>
    <row r="21" spans="2:14" ht="15" thickBot="1" x14ac:dyDescent="0.35">
      <c r="B21" s="66" t="s">
        <v>11</v>
      </c>
      <c r="C21" s="67"/>
      <c r="D21" s="67"/>
      <c r="E21" s="67"/>
      <c r="F21" s="67"/>
      <c r="G21" s="68"/>
      <c r="H21" s="51">
        <f>E6</f>
        <v>9142.5</v>
      </c>
      <c r="I21" s="52"/>
      <c r="J21" s="53">
        <f>$E$7*12</f>
        <v>5400</v>
      </c>
      <c r="K21" s="53">
        <f t="shared" ref="K21:N21" si="0">$E$7*12</f>
        <v>5400</v>
      </c>
      <c r="L21" s="53">
        <f t="shared" si="0"/>
        <v>5400</v>
      </c>
      <c r="M21" s="53">
        <f t="shared" si="0"/>
        <v>5400</v>
      </c>
      <c r="N21" s="53">
        <f t="shared" si="0"/>
        <v>5400</v>
      </c>
    </row>
    <row r="22" spans="2:14" ht="15" thickBot="1" x14ac:dyDescent="0.35">
      <c r="B22" s="66" t="s">
        <v>12</v>
      </c>
      <c r="C22" s="67"/>
      <c r="D22" s="67"/>
      <c r="E22" s="67"/>
      <c r="F22" s="67"/>
      <c r="G22" s="68"/>
      <c r="H22" s="51">
        <v>0</v>
      </c>
      <c r="I22" s="52"/>
      <c r="J22" s="54">
        <f>E8</f>
        <v>12348</v>
      </c>
      <c r="K22" s="54">
        <f>E8</f>
        <v>12348</v>
      </c>
      <c r="L22" s="54">
        <f>E8</f>
        <v>12348</v>
      </c>
      <c r="M22" s="54">
        <f>E8</f>
        <v>12348</v>
      </c>
      <c r="N22" s="54">
        <f>E8</f>
        <v>12348</v>
      </c>
    </row>
    <row r="23" spans="2:14" ht="15" thickBot="1" x14ac:dyDescent="0.35">
      <c r="B23" s="66" t="s">
        <v>13</v>
      </c>
      <c r="C23" s="67"/>
      <c r="D23" s="67"/>
      <c r="E23" s="67"/>
      <c r="F23" s="67"/>
      <c r="G23" s="68"/>
      <c r="H23" s="51">
        <f>H22-H21</f>
        <v>-9142.5</v>
      </c>
      <c r="I23" s="52"/>
      <c r="J23" s="55">
        <f>J22-J21</f>
        <v>6948</v>
      </c>
      <c r="K23" s="55">
        <f t="shared" ref="K23:M23" si="1">K22-K21</f>
        <v>6948</v>
      </c>
      <c r="L23" s="55">
        <f t="shared" si="1"/>
        <v>6948</v>
      </c>
      <c r="M23" s="55">
        <f t="shared" si="1"/>
        <v>6948</v>
      </c>
      <c r="N23" s="55">
        <f>N22-N21</f>
        <v>6948</v>
      </c>
    </row>
    <row r="24" spans="2:14" ht="15" thickBot="1" x14ac:dyDescent="0.35">
      <c r="B24" s="66" t="s">
        <v>14</v>
      </c>
      <c r="C24" s="67"/>
      <c r="D24" s="67"/>
      <c r="E24" s="67"/>
      <c r="F24" s="67"/>
      <c r="G24" s="68"/>
      <c r="H24" s="3">
        <f>(1+E4)^H20</f>
        <v>0.89285714285714279</v>
      </c>
      <c r="I24" s="4"/>
      <c r="J24" s="9">
        <f>(1*E4)^J20</f>
        <v>1</v>
      </c>
      <c r="K24" s="9">
        <f>(1+E4)^K20</f>
        <v>1.1200000000000001</v>
      </c>
      <c r="L24" s="9">
        <f>(1+E4)^L20</f>
        <v>1.2544000000000002</v>
      </c>
      <c r="M24" s="9">
        <f>(1+E4)^M20</f>
        <v>1.4049280000000004</v>
      </c>
      <c r="N24" s="9">
        <f>(1+E4)^N20</f>
        <v>1.5735193600000004</v>
      </c>
    </row>
    <row r="25" spans="2:14" ht="15" thickBot="1" x14ac:dyDescent="0.35">
      <c r="B25" s="66" t="s">
        <v>15</v>
      </c>
      <c r="C25" s="67"/>
      <c r="D25" s="67"/>
      <c r="E25" s="67"/>
      <c r="F25" s="67"/>
      <c r="G25" s="68"/>
      <c r="H25" s="51">
        <f>H23/H24</f>
        <v>-10239.6</v>
      </c>
      <c r="I25" s="52"/>
      <c r="J25" s="56">
        <f>J23/J24</f>
        <v>6948</v>
      </c>
      <c r="K25" s="56">
        <f t="shared" ref="K25:N25" si="2">K23/K24</f>
        <v>6203.5714285714275</v>
      </c>
      <c r="L25" s="56">
        <f t="shared" si="2"/>
        <v>5538.9030612244887</v>
      </c>
      <c r="M25" s="56">
        <f t="shared" si="2"/>
        <v>4945.449161807579</v>
      </c>
      <c r="N25" s="56">
        <f t="shared" si="2"/>
        <v>4415.5796087567669</v>
      </c>
    </row>
    <row r="26" spans="2:14" ht="15" thickBot="1" x14ac:dyDescent="0.35">
      <c r="B26" s="66" t="s">
        <v>16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53">
        <f>SUM(H25:N25)</f>
        <v>17811.903260360261</v>
      </c>
    </row>
    <row r="27" spans="2:14" ht="15" thickBot="1" x14ac:dyDescent="0.35">
      <c r="B27" s="66" t="s">
        <v>17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10">
        <f>N26/SUM(H21+H21)</f>
        <v>0.97412651136780204</v>
      </c>
    </row>
  </sheetData>
  <mergeCells count="40">
    <mergeCell ref="B26:M26"/>
    <mergeCell ref="B27:M27"/>
    <mergeCell ref="J19:N19"/>
    <mergeCell ref="D15:E16"/>
    <mergeCell ref="G5:I5"/>
    <mergeCell ref="G6:I6"/>
    <mergeCell ref="G7:I7"/>
    <mergeCell ref="G9:I9"/>
    <mergeCell ref="G10:I11"/>
    <mergeCell ref="H25:I25"/>
    <mergeCell ref="B19:G20"/>
    <mergeCell ref="B21:G21"/>
    <mergeCell ref="B22:G22"/>
    <mergeCell ref="B23:G23"/>
    <mergeCell ref="B24:G24"/>
    <mergeCell ref="B25:G25"/>
    <mergeCell ref="H19:I19"/>
    <mergeCell ref="H20:I20"/>
    <mergeCell ref="H21:I21"/>
    <mergeCell ref="H22:I22"/>
    <mergeCell ref="H23:I23"/>
    <mergeCell ref="H24:I24"/>
    <mergeCell ref="B11:E11"/>
    <mergeCell ref="B12:C12"/>
    <mergeCell ref="D12:E12"/>
    <mergeCell ref="B15:C16"/>
    <mergeCell ref="B8:D9"/>
    <mergeCell ref="B6:D6"/>
    <mergeCell ref="B14:E14"/>
    <mergeCell ref="J10:J11"/>
    <mergeCell ref="B7:D7"/>
    <mergeCell ref="B4:D4"/>
    <mergeCell ref="E8:E9"/>
    <mergeCell ref="G13:I13"/>
    <mergeCell ref="G14:I14"/>
    <mergeCell ref="B17:C17"/>
    <mergeCell ref="D17:E17"/>
    <mergeCell ref="J14:J15"/>
    <mergeCell ref="G15:I15"/>
    <mergeCell ref="G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Eldar Jahijagić</dc:creator>
  <cp:lastModifiedBy>Eldar Jahijagić</cp:lastModifiedBy>
  <dcterms:created xsi:type="dcterms:W3CDTF">2018-12-18T07:09:27Z</dcterms:created>
  <dcterms:modified xsi:type="dcterms:W3CDTF">2018-12-18T09:03:47Z</dcterms:modified>
</cp:coreProperties>
</file>